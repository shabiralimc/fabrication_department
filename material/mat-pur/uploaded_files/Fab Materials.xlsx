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wels-1\Desktop\"/>
    </mc:Choice>
  </mc:AlternateContent>
  <bookViews>
    <workbookView xWindow="0" yWindow="0" windowWidth="28770" windowHeight="132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1" l="1"/>
  <c r="G20" i="1" l="1"/>
  <c r="D26" i="1"/>
  <c r="C26" i="1"/>
  <c r="U17" i="1"/>
  <c r="H20" i="1"/>
  <c r="E26" i="1" s="1"/>
  <c r="G16" i="1"/>
</calcChain>
</file>

<file path=xl/sharedStrings.xml><?xml version="1.0" encoding="utf-8"?>
<sst xmlns="http://schemas.openxmlformats.org/spreadsheetml/2006/main" count="30" uniqueCount="22">
  <si>
    <t>KG</t>
  </si>
  <si>
    <t>Purchase</t>
  </si>
  <si>
    <t>Sqft</t>
  </si>
  <si>
    <t>Ft</t>
  </si>
  <si>
    <t>Nos</t>
  </si>
  <si>
    <t>Define</t>
  </si>
  <si>
    <t>Material</t>
  </si>
  <si>
    <t>Unit</t>
  </si>
  <si>
    <t>Pckt</t>
  </si>
  <si>
    <t>Mtr</t>
  </si>
  <si>
    <t>Master Unit</t>
  </si>
  <si>
    <t>Stock</t>
  </si>
  <si>
    <t>Name</t>
  </si>
  <si>
    <t>Qty</t>
  </si>
  <si>
    <t>Alternate Unit</t>
  </si>
  <si>
    <t>Pipe 19 x 19 x 21</t>
  </si>
  <si>
    <t>Alias</t>
  </si>
  <si>
    <t>P19X21</t>
  </si>
  <si>
    <t>P1920</t>
  </si>
  <si>
    <t>Consumption (sales)</t>
  </si>
  <si>
    <t>Alias 2</t>
  </si>
  <si>
    <t>Consumption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</si>
</sst>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26"/>
  <sheetViews>
    <sheetView tabSelected="1" workbookViewId="0">
      <selection activeCell="D16" sqref="D16"/>
    </sheetView>
  </sheetViews>
  <sheetFormatPr defaultRowHeight="15" x14ac:dyDescent="0.25"/>
  <cols>
    <col min="3" max="3" width="13.7109375" customWidth="1"/>
    <col min="11" max="11" width="18" bestFit="1" customWidth="1"/>
    <col min="16" max="16" width="10.42578125" bestFit="1" customWidth="1"/>
    <col min="21" max="21" width="0" hidden="1" customWidth="1"/>
  </cols>
  <sheetData>
    <row r="3" spans="2:21" x14ac:dyDescent="0.25">
      <c r="B3" s="5">
        <v>1</v>
      </c>
      <c r="C3" s="6" t="s">
        <v>6</v>
      </c>
      <c r="D3" s="6"/>
    </row>
    <row r="4" spans="2:21" x14ac:dyDescent="0.25">
      <c r="P4" s="1"/>
    </row>
    <row r="5" spans="2:21" x14ac:dyDescent="0.25">
      <c r="C5" t="s">
        <v>12</v>
      </c>
      <c r="D5" t="s">
        <v>15</v>
      </c>
      <c r="K5" t="s">
        <v>21</v>
      </c>
    </row>
    <row r="6" spans="2:21" x14ac:dyDescent="0.25">
      <c r="C6" t="s">
        <v>16</v>
      </c>
      <c r="D6" t="s">
        <v>17</v>
      </c>
    </row>
    <row r="7" spans="2:21" x14ac:dyDescent="0.25">
      <c r="C7" t="s">
        <v>20</v>
      </c>
      <c r="D7" t="s">
        <v>18</v>
      </c>
    </row>
    <row r="9" spans="2:21" x14ac:dyDescent="0.25">
      <c r="D9" t="s">
        <v>5</v>
      </c>
    </row>
    <row r="10" spans="2:21" x14ac:dyDescent="0.25">
      <c r="C10" t="s">
        <v>10</v>
      </c>
      <c r="D10" t="s">
        <v>3</v>
      </c>
      <c r="E10">
        <v>1</v>
      </c>
    </row>
    <row r="11" spans="2:21" x14ac:dyDescent="0.25">
      <c r="C11" t="s">
        <v>14</v>
      </c>
      <c r="D11" t="s">
        <v>2</v>
      </c>
      <c r="E11">
        <v>19.75</v>
      </c>
      <c r="U11" t="s">
        <v>2</v>
      </c>
    </row>
    <row r="12" spans="2:21" x14ac:dyDescent="0.25">
      <c r="U12" t="s">
        <v>3</v>
      </c>
    </row>
    <row r="13" spans="2:21" x14ac:dyDescent="0.25">
      <c r="B13" s="5">
        <v>2</v>
      </c>
      <c r="C13" s="6" t="s">
        <v>1</v>
      </c>
      <c r="D13" s="6"/>
      <c r="U13" t="s">
        <v>4</v>
      </c>
    </row>
    <row r="14" spans="2:21" x14ac:dyDescent="0.25">
      <c r="U14" t="s">
        <v>0</v>
      </c>
    </row>
    <row r="15" spans="2:21" x14ac:dyDescent="0.25">
      <c r="D15" t="s">
        <v>1</v>
      </c>
      <c r="G15" s="2" t="str">
        <f>D11</f>
        <v>Sqft</v>
      </c>
      <c r="U15" t="s">
        <v>8</v>
      </c>
    </row>
    <row r="16" spans="2:21" x14ac:dyDescent="0.25">
      <c r="D16" s="2" t="s">
        <v>0</v>
      </c>
      <c r="E16" s="2">
        <v>50</v>
      </c>
      <c r="G16" s="2">
        <f>E16*E11</f>
        <v>987.5</v>
      </c>
      <c r="U16" t="s">
        <v>9</v>
      </c>
    </row>
    <row r="17" spans="2:21" x14ac:dyDescent="0.25">
      <c r="U17" s="3">
        <f>D20/E11</f>
        <v>1</v>
      </c>
    </row>
    <row r="18" spans="2:21" x14ac:dyDescent="0.25">
      <c r="B18" s="5">
        <v>3</v>
      </c>
      <c r="C18" s="6" t="s">
        <v>19</v>
      </c>
      <c r="D18" s="6"/>
    </row>
    <row r="19" spans="2:21" x14ac:dyDescent="0.25">
      <c r="E19" t="s">
        <v>7</v>
      </c>
      <c r="G19" t="s">
        <v>7</v>
      </c>
    </row>
    <row r="20" spans="2:21" x14ac:dyDescent="0.25">
      <c r="D20">
        <v>19.75</v>
      </c>
      <c r="E20" s="2" t="s">
        <v>4</v>
      </c>
      <c r="G20" t="str">
        <f>D10</f>
        <v>Ft</v>
      </c>
      <c r="H20">
        <f>IF(E20="Nos",D20,U17)</f>
        <v>19.75</v>
      </c>
    </row>
    <row r="24" spans="2:21" x14ac:dyDescent="0.25">
      <c r="B24" s="5">
        <v>4</v>
      </c>
      <c r="C24" s="6" t="s">
        <v>11</v>
      </c>
      <c r="D24" s="6"/>
    </row>
    <row r="25" spans="2:21" x14ac:dyDescent="0.25">
      <c r="C25" s="4" t="s">
        <v>6</v>
      </c>
      <c r="D25" s="4" t="s">
        <v>7</v>
      </c>
      <c r="E25" s="4" t="s">
        <v>13</v>
      </c>
    </row>
    <row r="26" spans="2:21" x14ac:dyDescent="0.25">
      <c r="C26" t="str">
        <f>D5</f>
        <v>Pipe 19 x 19 x 21</v>
      </c>
      <c r="D26" t="str">
        <f>D10</f>
        <v>Ft</v>
      </c>
      <c r="E26">
        <f>E16-H20</f>
        <v>30.25</v>
      </c>
    </row>
  </sheetData>
  <mergeCells count="4">
    <mergeCell ref="C3:D3"/>
    <mergeCell ref="C13:D13"/>
    <mergeCell ref="C18:D18"/>
    <mergeCell ref="C24:D24"/>
  </mergeCells>
  <dataValidations count="1">
    <dataValidation type="list" allowBlank="1" showInputMessage="1" showErrorMessage="1" sqref="D16 D10:D11 E20">
      <formula1>$U$11:$U$14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Wowels-1</cp:lastModifiedBy>
  <dcterms:created xsi:type="dcterms:W3CDTF">2015-06-05T18:17:20Z</dcterms:created>
  <dcterms:modified xsi:type="dcterms:W3CDTF">2024-09-05T12:21:47Z</dcterms:modified>
</cp:coreProperties>
</file>